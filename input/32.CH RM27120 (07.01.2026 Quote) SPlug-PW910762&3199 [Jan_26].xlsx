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606524-D082-41EA-9185-D4C80FFAC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.01.26" sheetId="1" r:id="rId1"/>
  </sheets>
  <definedNames>
    <definedName name="_xlnm.Print_Area" localSheetId="0">'07.01.26'!$A$1:$Z$42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1" l="1"/>
  <c r="Y35" i="1"/>
  <c r="X35" i="1"/>
  <c r="W35" i="1"/>
  <c r="V35" i="1"/>
  <c r="U35" i="1"/>
  <c r="T35" i="1"/>
  <c r="S35" i="1"/>
  <c r="R35" i="1"/>
  <c r="Q35" i="1"/>
  <c r="P35" i="1"/>
  <c r="M35" i="1"/>
  <c r="J35" i="1"/>
  <c r="G35" i="1"/>
  <c r="E35" i="1"/>
  <c r="P34" i="1"/>
  <c r="O34" i="1"/>
  <c r="N34" i="1"/>
  <c r="M34" i="1"/>
  <c r="L34" i="1"/>
  <c r="J34" i="1"/>
  <c r="G34" i="1"/>
  <c r="P33" i="1"/>
  <c r="O33" i="1"/>
  <c r="N33" i="1"/>
  <c r="M33" i="1"/>
  <c r="L33" i="1"/>
  <c r="J33" i="1"/>
  <c r="G33" i="1"/>
  <c r="P32" i="1"/>
  <c r="O32" i="1"/>
  <c r="N32" i="1"/>
  <c r="M32" i="1"/>
  <c r="L32" i="1"/>
  <c r="J32" i="1"/>
  <c r="G32" i="1"/>
  <c r="P31" i="1"/>
  <c r="O31" i="1"/>
  <c r="N31" i="1"/>
  <c r="M31" i="1"/>
  <c r="L31" i="1"/>
  <c r="J31" i="1"/>
  <c r="G31" i="1"/>
  <c r="P30" i="1"/>
  <c r="O30" i="1"/>
  <c r="N30" i="1"/>
  <c r="M30" i="1"/>
  <c r="L30" i="1"/>
  <c r="J30" i="1"/>
  <c r="G30" i="1"/>
  <c r="P29" i="1"/>
  <c r="O29" i="1"/>
  <c r="N29" i="1"/>
  <c r="M29" i="1"/>
  <c r="L29" i="1"/>
  <c r="J29" i="1"/>
  <c r="G29" i="1"/>
  <c r="P28" i="1"/>
  <c r="O28" i="1"/>
  <c r="N28" i="1"/>
  <c r="M28" i="1"/>
  <c r="L28" i="1"/>
  <c r="J28" i="1"/>
  <c r="G28" i="1"/>
  <c r="P27" i="1"/>
  <c r="O27" i="1"/>
  <c r="N27" i="1"/>
  <c r="M27" i="1"/>
  <c r="L27" i="1"/>
  <c r="J27" i="1"/>
  <c r="G27" i="1"/>
  <c r="P26" i="1"/>
  <c r="O26" i="1"/>
  <c r="N26" i="1"/>
  <c r="M26" i="1"/>
  <c r="L26" i="1"/>
  <c r="J26" i="1"/>
  <c r="G26" i="1"/>
  <c r="P25" i="1"/>
  <c r="O25" i="1"/>
  <c r="N25" i="1"/>
  <c r="M25" i="1"/>
  <c r="L25" i="1"/>
  <c r="J25" i="1"/>
  <c r="G25" i="1"/>
  <c r="P24" i="1"/>
  <c r="O24" i="1"/>
  <c r="N24" i="1"/>
  <c r="M24" i="1"/>
  <c r="L24" i="1"/>
  <c r="J24" i="1"/>
  <c r="G24" i="1"/>
  <c r="P23" i="1"/>
  <c r="O23" i="1"/>
  <c r="N23" i="1"/>
  <c r="M23" i="1"/>
  <c r="L23" i="1"/>
  <c r="J23" i="1"/>
  <c r="G23" i="1"/>
  <c r="P22" i="1"/>
  <c r="O22" i="1"/>
  <c r="N22" i="1"/>
  <c r="M22" i="1"/>
  <c r="L22" i="1"/>
  <c r="J22" i="1"/>
  <c r="G22" i="1"/>
  <c r="P21" i="1"/>
  <c r="O21" i="1"/>
  <c r="N21" i="1"/>
  <c r="M21" i="1"/>
  <c r="L21" i="1"/>
  <c r="J21" i="1"/>
  <c r="G21" i="1"/>
  <c r="P20" i="1"/>
  <c r="O20" i="1"/>
  <c r="N20" i="1"/>
  <c r="M20" i="1"/>
  <c r="L20" i="1"/>
  <c r="J20" i="1"/>
  <c r="G20" i="1"/>
  <c r="P19" i="1"/>
  <c r="O19" i="1"/>
  <c r="N19" i="1"/>
  <c r="M19" i="1"/>
  <c r="L19" i="1"/>
  <c r="J19" i="1"/>
  <c r="G19" i="1"/>
  <c r="P18" i="1"/>
  <c r="O18" i="1"/>
  <c r="N18" i="1"/>
  <c r="M18" i="1"/>
  <c r="L18" i="1"/>
  <c r="J18" i="1"/>
  <c r="G18" i="1"/>
  <c r="P17" i="1"/>
  <c r="O17" i="1"/>
  <c r="N17" i="1"/>
  <c r="M17" i="1"/>
  <c r="L17" i="1"/>
  <c r="J17" i="1"/>
  <c r="G17" i="1"/>
  <c r="P16" i="1"/>
  <c r="O16" i="1"/>
  <c r="N16" i="1"/>
  <c r="M16" i="1"/>
  <c r="L16" i="1"/>
  <c r="J16" i="1"/>
  <c r="G16" i="1"/>
  <c r="P15" i="1"/>
  <c r="O15" i="1"/>
  <c r="N15" i="1"/>
  <c r="M15" i="1"/>
  <c r="L15" i="1"/>
  <c r="J15" i="1"/>
  <c r="G15" i="1"/>
  <c r="X9" i="1"/>
  <c r="X8" i="1"/>
  <c r="X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7" authorId="0" shapeId="0" xr:uid="{00000000-0006-0000-00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G15" authorId="0" shapeId="0" xr:uid="{00000000-0006-0000-00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J15" authorId="0" shapeId="0" xr:uid="{00000000-0006-0000-0000-000003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L15" authorId="0" shapeId="0" xr:uid="{00000000-0006-0000-0000-000004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M15" authorId="0" shapeId="0" xr:uid="{00000000-0006-0000-0000-000005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</t>
        </r>
      </text>
    </comment>
    <comment ref="P15" authorId="0" shapeId="0" xr:uid="{00000000-0006-0000-0000-000006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Q15" authorId="0" shapeId="0" xr:uid="{00000000-0006-0000-0000-000007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key in here
</t>
        </r>
      </text>
    </comment>
  </commentList>
</comments>
</file>

<file path=xl/sharedStrings.xml><?xml version="1.0" encoding="utf-8"?>
<sst xmlns="http://schemas.openxmlformats.org/spreadsheetml/2006/main" count="60" uniqueCount="32">
  <si>
    <t>CH SPAREPARTS SDN BHD</t>
  </si>
  <si>
    <t>QUOTATION</t>
  </si>
  <si>
    <t>No.24 , Jalan TIB 1/11 , Taman Industri Bolton 68100 , 68100 Batu Caves , Selangor .</t>
  </si>
  <si>
    <t>NO.32</t>
  </si>
  <si>
    <t>Tel : 03-6186 0666 , Fax : 03-6186 8858 , Email : chspareparts908@gmail.com</t>
  </si>
  <si>
    <t>A/C NO. :300C/113</t>
  </si>
  <si>
    <t>QUOTE DATE</t>
  </si>
  <si>
    <t>07.01.2026</t>
  </si>
  <si>
    <t>Capital First (M) Sdn Bhd</t>
  </si>
  <si>
    <t>QUOTATION NUMBER</t>
  </si>
  <si>
    <t>61-1-2 , Jalan 1/18A ,</t>
  </si>
  <si>
    <t>VALID UNTIL</t>
  </si>
  <si>
    <t>Taman Mastiara ,</t>
  </si>
  <si>
    <t>51200 Kuala Lumpur .</t>
  </si>
  <si>
    <t>GOODS DELIVERY RECORDS</t>
  </si>
  <si>
    <t xml:space="preserve">Quotation Details : </t>
  </si>
  <si>
    <t>NO.</t>
  </si>
  <si>
    <t>STOCK CODE</t>
  </si>
  <si>
    <t>DESCRIPTION</t>
  </si>
  <si>
    <t>Total Box</t>
  </si>
  <si>
    <t>QTY per Box</t>
  </si>
  <si>
    <t>QTY</t>
  </si>
  <si>
    <t>U/PRICE</t>
  </si>
  <si>
    <t>AMOUNT (RM)</t>
  </si>
  <si>
    <t>Balance Box</t>
  </si>
  <si>
    <t>Total Taken Box</t>
  </si>
  <si>
    <t>07.01.26</t>
  </si>
  <si>
    <t>PW910762</t>
  </si>
  <si>
    <t>SPARK PLUG</t>
  </si>
  <si>
    <t>PCS</t>
  </si>
  <si>
    <t>TOTAL</t>
  </si>
  <si>
    <t>Customer Acceptance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</si>
</sst>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_(* #,##0.00_);_(* \(#,##0.00\);_(* &quot;-&quot;??_);_(@_)"/>
    <numFmt numFmtId="168" formatCode="d/m/yyyy;@"/>
    <numFmt numFmtId="169" formatCode="_(* #,##0_);_(* \(#,##0\);_(* &quot;-&quot;??_);_(@_)"/>
    <numFmt numFmtId="170" formatCode="&quot;RM&quot;\ 00,000.00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34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6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34"/>
      <color rgb="FF0070C0"/>
      <name val="Calibri"/>
      <charset val="134"/>
      <scheme val="minor"/>
    </font>
    <font>
      <b/>
      <sz val="28"/>
      <color theme="5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5" fontId="2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 indent="1"/>
    </xf>
    <xf numFmtId="0" fontId="6" fillId="0" borderId="0" xfId="0" applyFont="1">
      <alignment vertical="center"/>
    </xf>
    <xf numFmtId="0" fontId="7" fillId="0" borderId="0" xfId="0" applyFont="1" applyAlignment="1"/>
    <xf numFmtId="0" fontId="0" fillId="0" borderId="0" xfId="0" applyAlignment="1">
      <alignment horizontal="left" indent="1"/>
    </xf>
    <xf numFmtId="0" fontId="8" fillId="0" borderId="0" xfId="0" applyFont="1" applyAlignment="1"/>
    <xf numFmtId="0" fontId="11" fillId="0" borderId="0" xfId="0" applyFont="1" applyAlignment="1"/>
    <xf numFmtId="0" fontId="1" fillId="0" borderId="0" xfId="0" applyFont="1" applyAlignme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wrapText="1" indent="1"/>
    </xf>
    <xf numFmtId="0" fontId="0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169" fontId="12" fillId="2" borderId="1" xfId="1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9" fontId="0" fillId="2" borderId="1" xfId="0" applyNumberFormat="1" applyFill="1" applyBorder="1">
      <alignment vertical="center"/>
    </xf>
    <xf numFmtId="0" fontId="14" fillId="0" borderId="3" xfId="0" applyFont="1" applyBorder="1">
      <alignment vertical="center"/>
    </xf>
    <xf numFmtId="0" fontId="15" fillId="0" borderId="0" xfId="0" applyFont="1" applyAlignment="1"/>
    <xf numFmtId="0" fontId="15" fillId="0" borderId="0" xfId="0" applyFont="1" applyAlignment="1">
      <alignment horizontal="left" indent="1"/>
    </xf>
    <xf numFmtId="0" fontId="15" fillId="0" borderId="4" xfId="0" applyFont="1" applyBorder="1" applyAlignment="1"/>
    <xf numFmtId="0" fontId="15" fillId="0" borderId="4" xfId="0" applyFont="1" applyBorder="1" applyAlignment="1">
      <alignment horizontal="left" indent="1"/>
    </xf>
    <xf numFmtId="0" fontId="15" fillId="0" borderId="0" xfId="0" applyFont="1" applyBorder="1" applyAlignment="1">
      <alignment horizontal="left" indent="1"/>
    </xf>
    <xf numFmtId="0" fontId="0" fillId="0" borderId="1" xfId="0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165" fontId="12" fillId="2" borderId="1" xfId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70" fontId="5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1" xfId="0" applyFont="1" applyBorder="1" applyAlignment="1"/>
    <xf numFmtId="14" fontId="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indent="1"/>
    </xf>
    <xf numFmtId="14" fontId="0" fillId="3" borderId="1" xfId="0" applyNumberFormat="1" applyFont="1" applyFill="1" applyBorder="1" applyAlignment="1">
      <alignment horizontal="left" indent="2"/>
    </xf>
    <xf numFmtId="14" fontId="10" fillId="0" borderId="1" xfId="0" applyNumberFormat="1" applyFont="1" applyBorder="1" applyAlignment="1">
      <alignment horizontal="center"/>
    </xf>
    <xf numFmtId="14" fontId="7" fillId="3" borderId="1" xfId="0" applyNumberFormat="1" applyFont="1" applyFill="1" applyBorder="1" applyAlignment="1">
      <alignment horizontal="left" indent="2"/>
    </xf>
    <xf numFmtId="168" fontId="0" fillId="0" borderId="1" xfId="0" applyNumberFormat="1" applyBorder="1" applyAlignment="1">
      <alignment horizontal="center"/>
    </xf>
    <xf numFmtId="168" fontId="7" fillId="3" borderId="1" xfId="0" applyNumberFormat="1" applyFont="1" applyFill="1" applyBorder="1" applyAlignment="1">
      <alignment horizontal="left" indent="2"/>
    </xf>
    <xf numFmtId="0" fontId="1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"/>
  <sheetViews>
    <sheetView tabSelected="1" view="pageBreakPreview" zoomScale="84" zoomScaleNormal="84" zoomScaleSheetLayoutView="84" workbookViewId="0">
      <selection activeCell="I17" sqref="I17"/>
    </sheetView>
  </sheetViews>
  <sheetFormatPr defaultColWidth="9.140625" defaultRowHeight="15"/>
  <cols>
    <col min="1" max="1" width="1.7109375" customWidth="1"/>
    <col min="2" max="2" width="5.7109375" customWidth="1"/>
    <col min="3" max="3" width="18.7109375" customWidth="1"/>
    <col min="4" max="4" width="59.5703125" style="3" customWidth="1"/>
    <col min="5" max="5" width="6.42578125" style="3" customWidth="1"/>
    <col min="6" max="6" width="7.42578125" style="3" customWidth="1"/>
    <col min="7" max="9" width="9.7109375" customWidth="1"/>
    <col min="10" max="10" width="15.28515625" customWidth="1"/>
    <col min="11" max="11" width="3.28515625" customWidth="1"/>
    <col min="12" max="12" width="7.42578125" customWidth="1"/>
    <col min="13" max="13" width="9.28515625" style="4" customWidth="1"/>
    <col min="14" max="14" width="6.140625" style="4" customWidth="1"/>
    <col min="15" max="15" width="17.28515625" style="4" customWidth="1"/>
    <col min="16" max="16" width="10.140625" style="4" customWidth="1"/>
    <col min="17" max="24" width="9.5703125" style="4" customWidth="1"/>
    <col min="25" max="26" width="9.5703125" customWidth="1"/>
  </cols>
  <sheetData>
    <row r="1" spans="1:26">
      <c r="A1" s="5"/>
      <c r="B1" s="66" t="s">
        <v>0</v>
      </c>
      <c r="C1" s="66"/>
      <c r="D1" s="66"/>
      <c r="E1" s="66"/>
      <c r="F1" s="66"/>
      <c r="G1" s="66"/>
      <c r="H1" s="67" t="s">
        <v>1</v>
      </c>
      <c r="I1" s="67"/>
      <c r="J1" s="67"/>
      <c r="L1" s="68" t="s">
        <v>0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>
      <c r="A2" s="5"/>
      <c r="B2" s="66"/>
      <c r="C2" s="66"/>
      <c r="D2" s="66"/>
      <c r="E2" s="66"/>
      <c r="F2" s="66"/>
      <c r="G2" s="66"/>
      <c r="H2" s="67"/>
      <c r="I2" s="67"/>
      <c r="J2" s="67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24.95" customHeight="1">
      <c r="A3" s="5"/>
      <c r="B3" s="6" t="s">
        <v>2</v>
      </c>
      <c r="C3" s="7"/>
      <c r="D3" s="8"/>
      <c r="E3" s="8"/>
      <c r="F3" s="8"/>
      <c r="G3" s="5"/>
      <c r="H3" s="9"/>
      <c r="I3" s="9"/>
      <c r="J3" s="9" t="s">
        <v>3</v>
      </c>
      <c r="L3" s="6" t="s">
        <v>2</v>
      </c>
      <c r="M3" s="7"/>
      <c r="P3" s="8"/>
      <c r="Q3" s="5"/>
      <c r="R3" s="9"/>
      <c r="S3" s="9"/>
      <c r="T3" s="9"/>
    </row>
    <row r="4" spans="1:26" ht="24.95" customHeight="1">
      <c r="A4" s="5"/>
      <c r="B4" s="6" t="s">
        <v>4</v>
      </c>
      <c r="C4" s="7"/>
      <c r="D4" s="8"/>
      <c r="E4" s="8"/>
      <c r="F4" s="8"/>
      <c r="G4" s="5"/>
      <c r="H4" s="9"/>
      <c r="I4" s="9"/>
      <c r="J4" s="9"/>
      <c r="L4" s="6" t="s">
        <v>4</v>
      </c>
      <c r="M4" s="7"/>
      <c r="P4" s="8"/>
      <c r="Q4" s="5"/>
      <c r="R4" s="9"/>
      <c r="S4" s="9"/>
      <c r="T4" s="9"/>
    </row>
    <row r="5" spans="1:26" ht="15" customHeight="1">
      <c r="A5" s="5"/>
      <c r="B5" s="10"/>
      <c r="C5" s="10"/>
      <c r="D5" s="11"/>
      <c r="E5" s="11"/>
      <c r="F5" s="11"/>
      <c r="G5" s="5"/>
      <c r="H5" s="9"/>
      <c r="I5" s="9"/>
      <c r="J5" s="9"/>
      <c r="M5"/>
      <c r="N5" s="10"/>
      <c r="O5" s="10"/>
      <c r="P5" s="11"/>
      <c r="Q5" s="5"/>
      <c r="R5" s="9"/>
      <c r="S5" s="9"/>
      <c r="T5" s="9"/>
    </row>
    <row r="6" spans="1:26" ht="15" customHeight="1">
      <c r="A6" s="5"/>
      <c r="B6" s="10"/>
      <c r="C6" s="10"/>
      <c r="D6" s="11"/>
      <c r="E6" s="11"/>
      <c r="F6" s="11"/>
      <c r="G6" s="5"/>
      <c r="H6" s="5"/>
      <c r="I6" s="5"/>
      <c r="J6" s="5"/>
      <c r="M6"/>
      <c r="N6" s="10"/>
      <c r="O6" s="10"/>
      <c r="P6" s="11"/>
      <c r="Q6" s="5"/>
      <c r="R6" s="5"/>
      <c r="S6" s="5"/>
      <c r="T6" s="5"/>
    </row>
    <row r="7" spans="1:26" ht="21">
      <c r="A7" s="5"/>
      <c r="B7" s="12" t="s">
        <v>5</v>
      </c>
      <c r="C7" s="7"/>
      <c r="D7" s="11"/>
      <c r="E7" s="53" t="s">
        <v>6</v>
      </c>
      <c r="F7" s="53"/>
      <c r="G7" s="53"/>
      <c r="H7" s="54" t="s">
        <v>7</v>
      </c>
      <c r="I7" s="54"/>
      <c r="J7" s="54"/>
      <c r="L7" s="12" t="s">
        <v>5</v>
      </c>
      <c r="M7" s="7"/>
      <c r="U7" s="55" t="s">
        <v>6</v>
      </c>
      <c r="V7" s="55"/>
      <c r="W7" s="55"/>
      <c r="X7" s="56" t="str">
        <f t="shared" ref="X7:X9" si="0">+H7</f>
        <v>07.01.2026</v>
      </c>
      <c r="Y7" s="56"/>
      <c r="Z7" s="56"/>
    </row>
    <row r="8" spans="1:26" ht="21">
      <c r="A8" s="5"/>
      <c r="B8" s="12" t="s">
        <v>8</v>
      </c>
      <c r="C8" s="7"/>
      <c r="D8" s="11"/>
      <c r="E8" s="53" t="s">
        <v>9</v>
      </c>
      <c r="F8" s="53"/>
      <c r="G8" s="53"/>
      <c r="H8" s="57"/>
      <c r="I8" s="57"/>
      <c r="J8" s="57"/>
      <c r="L8" s="12" t="s">
        <v>8</v>
      </c>
      <c r="M8" s="7"/>
      <c r="U8" s="55" t="s">
        <v>9</v>
      </c>
      <c r="V8" s="55"/>
      <c r="W8" s="55"/>
      <c r="X8" s="58">
        <f t="shared" si="0"/>
        <v>0</v>
      </c>
      <c r="Y8" s="58"/>
      <c r="Z8" s="58"/>
    </row>
    <row r="9" spans="1:26" ht="21">
      <c r="A9" s="5"/>
      <c r="B9" s="10" t="s">
        <v>10</v>
      </c>
      <c r="C9" s="13"/>
      <c r="D9" s="11"/>
      <c r="E9" s="53" t="s">
        <v>11</v>
      </c>
      <c r="F9" s="53"/>
      <c r="G9" s="53"/>
      <c r="H9" s="59"/>
      <c r="I9" s="59"/>
      <c r="J9" s="59"/>
      <c r="L9" s="10" t="s">
        <v>10</v>
      </c>
      <c r="M9" s="13"/>
      <c r="U9" s="55" t="s">
        <v>11</v>
      </c>
      <c r="V9" s="55"/>
      <c r="W9" s="55"/>
      <c r="X9" s="60">
        <f t="shared" si="0"/>
        <v>0</v>
      </c>
      <c r="Y9" s="60"/>
      <c r="Z9" s="60"/>
    </row>
    <row r="10" spans="1:26" ht="21">
      <c r="A10" s="5"/>
      <c r="B10" s="10" t="s">
        <v>12</v>
      </c>
      <c r="C10" s="13"/>
      <c r="D10" s="11"/>
      <c r="E10" s="11"/>
      <c r="F10" s="11"/>
      <c r="G10" s="5"/>
      <c r="H10" s="5"/>
      <c r="I10" s="5"/>
      <c r="J10" s="5"/>
      <c r="L10" s="10" t="s">
        <v>12</v>
      </c>
      <c r="M10" s="13"/>
      <c r="P10" s="11"/>
      <c r="Q10" s="5"/>
      <c r="R10" s="5"/>
      <c r="S10" s="5"/>
      <c r="T10" s="5"/>
    </row>
    <row r="11" spans="1:26" ht="21">
      <c r="A11" s="5"/>
      <c r="B11" s="10" t="s">
        <v>13</v>
      </c>
      <c r="C11" s="13"/>
      <c r="D11" s="11"/>
      <c r="E11" s="11"/>
      <c r="F11" s="11"/>
      <c r="G11" s="5"/>
      <c r="H11" s="5"/>
      <c r="I11" s="5"/>
      <c r="J11" s="5"/>
      <c r="L11" s="10" t="s">
        <v>13</v>
      </c>
      <c r="M11" s="13"/>
      <c r="P11" s="11"/>
      <c r="Q11" s="5"/>
      <c r="R11" s="5"/>
      <c r="S11" s="5"/>
      <c r="T11" s="5"/>
    </row>
    <row r="12" spans="1:26" ht="35.25" customHeight="1">
      <c r="A12" s="5"/>
      <c r="B12" s="5"/>
      <c r="C12" s="5"/>
      <c r="D12" s="11"/>
      <c r="E12" s="11"/>
      <c r="F12" s="11"/>
      <c r="G12" s="5"/>
      <c r="H12" s="5"/>
      <c r="I12" s="5"/>
      <c r="J12" s="5"/>
      <c r="O12" s="61" t="s">
        <v>14</v>
      </c>
      <c r="P12" s="61"/>
      <c r="Q12" s="61"/>
      <c r="R12" s="61"/>
      <c r="S12" s="61"/>
      <c r="T12" s="61"/>
      <c r="U12" s="61"/>
      <c r="V12" s="61"/>
      <c r="W12" s="61"/>
    </row>
    <row r="13" spans="1:26" ht="47.25" customHeight="1">
      <c r="A13" s="5"/>
      <c r="B13" s="62" t="s">
        <v>15</v>
      </c>
      <c r="C13" s="63"/>
      <c r="D13" s="63"/>
      <c r="E13" s="63"/>
      <c r="F13" s="63"/>
      <c r="G13" s="63"/>
      <c r="H13" s="63"/>
      <c r="I13" s="63"/>
      <c r="J13" s="64"/>
      <c r="L13" s="38"/>
      <c r="M13" s="29"/>
      <c r="N13" s="29"/>
      <c r="O13" s="29"/>
      <c r="P13" s="29"/>
      <c r="Q13" s="29">
        <v>1</v>
      </c>
      <c r="R13" s="29">
        <v>2</v>
      </c>
      <c r="S13" s="29">
        <v>3</v>
      </c>
      <c r="T13" s="29">
        <v>4</v>
      </c>
      <c r="U13" s="29">
        <v>5</v>
      </c>
      <c r="V13" s="29">
        <v>6</v>
      </c>
      <c r="W13" s="29">
        <v>7</v>
      </c>
      <c r="X13" s="29">
        <v>8</v>
      </c>
      <c r="Y13" s="29">
        <v>9</v>
      </c>
      <c r="Z13" s="29">
        <v>10</v>
      </c>
    </row>
    <row r="14" spans="1:26" s="1" customFormat="1" ht="69" customHeight="1">
      <c r="A14" s="14"/>
      <c r="B14" s="15" t="s">
        <v>16</v>
      </c>
      <c r="C14" s="15" t="s">
        <v>17</v>
      </c>
      <c r="D14" s="15" t="s">
        <v>18</v>
      </c>
      <c r="E14" s="15" t="s">
        <v>19</v>
      </c>
      <c r="F14" s="16" t="s">
        <v>20</v>
      </c>
      <c r="G14" s="65" t="s">
        <v>21</v>
      </c>
      <c r="H14" s="65"/>
      <c r="I14" s="15" t="s">
        <v>22</v>
      </c>
      <c r="J14" s="15" t="s">
        <v>23</v>
      </c>
      <c r="L14" s="39" t="s">
        <v>19</v>
      </c>
      <c r="M14" s="40" t="s">
        <v>24</v>
      </c>
      <c r="N14" s="15" t="s">
        <v>16</v>
      </c>
      <c r="O14" s="15" t="s">
        <v>17</v>
      </c>
      <c r="P14" s="40" t="s">
        <v>25</v>
      </c>
      <c r="Q14" s="50" t="s">
        <v>26</v>
      </c>
      <c r="R14" s="51"/>
      <c r="S14" s="51"/>
      <c r="T14" s="51"/>
      <c r="U14" s="51"/>
      <c r="V14" s="51"/>
      <c r="W14" s="51"/>
      <c r="X14" s="51"/>
      <c r="Y14" s="51"/>
      <c r="Z14" s="51"/>
    </row>
    <row r="15" spans="1:26" s="2" customFormat="1" ht="28.5" customHeight="1">
      <c r="B15" s="17">
        <v>1</v>
      </c>
      <c r="C15" s="18" t="s">
        <v>27</v>
      </c>
      <c r="D15" s="19" t="s">
        <v>28</v>
      </c>
      <c r="E15" s="20">
        <v>12</v>
      </c>
      <c r="F15" s="21">
        <v>120</v>
      </c>
      <c r="G15" s="22">
        <f t="shared" ref="G15:G34" si="1">+E15*F15</f>
        <v>1440</v>
      </c>
      <c r="H15" s="17" t="s">
        <v>29</v>
      </c>
      <c r="I15" s="41">
        <v>16</v>
      </c>
      <c r="J15" s="42">
        <f t="shared" ref="J15:J34" si="2">G15*I15</f>
        <v>23040</v>
      </c>
      <c r="L15" s="43">
        <f t="shared" ref="L15:L34" si="3">+E15</f>
        <v>12</v>
      </c>
      <c r="M15" s="44">
        <f t="shared" ref="M15:M34" si="4">+L15-P15</f>
        <v>0</v>
      </c>
      <c r="N15" s="30">
        <f t="shared" ref="N15:N34" si="5">B15</f>
        <v>1</v>
      </c>
      <c r="O15" s="30" t="str">
        <f t="shared" ref="O15:O34" si="6">$C15</f>
        <v>PW910762</v>
      </c>
      <c r="P15" s="44">
        <f t="shared" ref="P15:P34" si="7">SUM(Q15:Z15)</f>
        <v>12</v>
      </c>
      <c r="Q15" s="29">
        <v>12</v>
      </c>
      <c r="R15" s="29"/>
      <c r="S15" s="29"/>
      <c r="T15" s="29"/>
      <c r="U15" s="29"/>
      <c r="V15" s="29"/>
      <c r="W15" s="29"/>
      <c r="X15" s="29"/>
      <c r="Y15" s="29"/>
      <c r="Z15" s="29"/>
    </row>
    <row r="16" spans="1:26" s="2" customFormat="1" ht="28.5" customHeight="1">
      <c r="B16" s="17">
        <v>2</v>
      </c>
      <c r="C16" s="18">
        <v>3199</v>
      </c>
      <c r="D16" s="19" t="s">
        <v>28</v>
      </c>
      <c r="E16" s="20">
        <v>4</v>
      </c>
      <c r="F16" s="21">
        <v>120</v>
      </c>
      <c r="G16" s="22">
        <f t="shared" si="1"/>
        <v>480</v>
      </c>
      <c r="H16" s="17" t="s">
        <v>29</v>
      </c>
      <c r="I16" s="41">
        <v>8.5</v>
      </c>
      <c r="J16" s="42">
        <f t="shared" si="2"/>
        <v>4080</v>
      </c>
      <c r="L16" s="43">
        <f t="shared" si="3"/>
        <v>4</v>
      </c>
      <c r="M16" s="44">
        <f t="shared" si="4"/>
        <v>0</v>
      </c>
      <c r="N16" s="30">
        <f t="shared" si="5"/>
        <v>2</v>
      </c>
      <c r="O16" s="30">
        <f t="shared" si="6"/>
        <v>3199</v>
      </c>
      <c r="P16" s="44">
        <f t="shared" si="7"/>
        <v>4</v>
      </c>
      <c r="Q16" s="29">
        <v>4</v>
      </c>
      <c r="R16" s="29"/>
      <c r="S16" s="29"/>
      <c r="T16" s="29"/>
      <c r="U16" s="29"/>
      <c r="V16" s="29"/>
      <c r="W16" s="29"/>
      <c r="X16" s="29"/>
      <c r="Y16" s="29"/>
      <c r="Z16" s="29"/>
    </row>
    <row r="17" spans="2:26" s="2" customFormat="1" ht="28.5" customHeight="1">
      <c r="B17" s="17">
        <v>3</v>
      </c>
      <c r="C17" s="18"/>
      <c r="D17" s="19"/>
      <c r="E17" s="20"/>
      <c r="F17" s="21"/>
      <c r="G17" s="22">
        <f t="shared" si="1"/>
        <v>0</v>
      </c>
      <c r="H17" s="17" t="s">
        <v>29</v>
      </c>
      <c r="I17" s="41"/>
      <c r="J17" s="42">
        <f t="shared" si="2"/>
        <v>0</v>
      </c>
      <c r="L17" s="43">
        <f t="shared" si="3"/>
        <v>0</v>
      </c>
      <c r="M17" s="44">
        <f t="shared" si="4"/>
        <v>0</v>
      </c>
      <c r="N17" s="30">
        <f t="shared" si="5"/>
        <v>3</v>
      </c>
      <c r="O17" s="30">
        <f t="shared" si="6"/>
        <v>0</v>
      </c>
      <c r="P17" s="44">
        <f t="shared" si="7"/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2:26" s="2" customFormat="1" ht="28.5" customHeight="1">
      <c r="B18" s="17">
        <v>4</v>
      </c>
      <c r="C18" s="18"/>
      <c r="D18" s="19"/>
      <c r="E18" s="20"/>
      <c r="F18" s="21"/>
      <c r="G18" s="22">
        <f t="shared" si="1"/>
        <v>0</v>
      </c>
      <c r="H18" s="17" t="s">
        <v>29</v>
      </c>
      <c r="I18" s="41"/>
      <c r="J18" s="42">
        <f t="shared" si="2"/>
        <v>0</v>
      </c>
      <c r="L18" s="43">
        <f t="shared" si="3"/>
        <v>0</v>
      </c>
      <c r="M18" s="44">
        <f t="shared" si="4"/>
        <v>0</v>
      </c>
      <c r="N18" s="30">
        <f t="shared" si="5"/>
        <v>4</v>
      </c>
      <c r="O18" s="30">
        <f t="shared" si="6"/>
        <v>0</v>
      </c>
      <c r="P18" s="44">
        <f t="shared" si="7"/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2:26" s="2" customFormat="1" ht="28.5" customHeight="1">
      <c r="B19" s="17">
        <v>5</v>
      </c>
      <c r="C19" s="18"/>
      <c r="D19" s="19"/>
      <c r="E19" s="20"/>
      <c r="F19" s="21"/>
      <c r="G19" s="22">
        <f t="shared" si="1"/>
        <v>0</v>
      </c>
      <c r="H19" s="17" t="s">
        <v>29</v>
      </c>
      <c r="I19" s="41"/>
      <c r="J19" s="42">
        <f t="shared" si="2"/>
        <v>0</v>
      </c>
      <c r="L19" s="43">
        <f t="shared" si="3"/>
        <v>0</v>
      </c>
      <c r="M19" s="44">
        <f t="shared" si="4"/>
        <v>0</v>
      </c>
      <c r="N19" s="30">
        <f t="shared" si="5"/>
        <v>5</v>
      </c>
      <c r="O19" s="30">
        <f t="shared" si="6"/>
        <v>0</v>
      </c>
      <c r="P19" s="44">
        <f t="shared" si="7"/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2:26" s="2" customFormat="1" ht="28.5" customHeight="1">
      <c r="B20" s="17">
        <v>6</v>
      </c>
      <c r="C20" s="18"/>
      <c r="D20" s="19"/>
      <c r="E20" s="20"/>
      <c r="F20" s="21"/>
      <c r="G20" s="22">
        <f t="shared" si="1"/>
        <v>0</v>
      </c>
      <c r="H20" s="17" t="s">
        <v>29</v>
      </c>
      <c r="I20" s="41"/>
      <c r="J20" s="42">
        <f t="shared" si="2"/>
        <v>0</v>
      </c>
      <c r="L20" s="43">
        <f t="shared" si="3"/>
        <v>0</v>
      </c>
      <c r="M20" s="44">
        <f t="shared" si="4"/>
        <v>0</v>
      </c>
      <c r="N20" s="30">
        <f t="shared" si="5"/>
        <v>6</v>
      </c>
      <c r="O20" s="30">
        <f t="shared" si="6"/>
        <v>0</v>
      </c>
      <c r="P20" s="44">
        <f t="shared" si="7"/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2:26" s="2" customFormat="1" ht="28.5" customHeight="1">
      <c r="B21" s="17">
        <v>7</v>
      </c>
      <c r="C21" s="18"/>
      <c r="D21" s="19"/>
      <c r="E21" s="20"/>
      <c r="F21" s="21"/>
      <c r="G21" s="22">
        <f t="shared" si="1"/>
        <v>0</v>
      </c>
      <c r="H21" s="17" t="s">
        <v>29</v>
      </c>
      <c r="I21" s="41"/>
      <c r="J21" s="42">
        <f t="shared" si="2"/>
        <v>0</v>
      </c>
      <c r="L21" s="43">
        <f t="shared" si="3"/>
        <v>0</v>
      </c>
      <c r="M21" s="44">
        <f t="shared" si="4"/>
        <v>0</v>
      </c>
      <c r="N21" s="30">
        <f t="shared" si="5"/>
        <v>7</v>
      </c>
      <c r="O21" s="30">
        <f t="shared" si="6"/>
        <v>0</v>
      </c>
      <c r="P21" s="44">
        <f t="shared" si="7"/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2:26" s="2" customFormat="1" ht="28.5" customHeight="1">
      <c r="B22" s="17">
        <v>8</v>
      </c>
      <c r="C22" s="18"/>
      <c r="D22" s="19"/>
      <c r="E22" s="20"/>
      <c r="F22" s="21"/>
      <c r="G22" s="22">
        <f t="shared" si="1"/>
        <v>0</v>
      </c>
      <c r="H22" s="17" t="s">
        <v>29</v>
      </c>
      <c r="I22" s="41"/>
      <c r="J22" s="42">
        <f t="shared" si="2"/>
        <v>0</v>
      </c>
      <c r="L22" s="43">
        <f t="shared" si="3"/>
        <v>0</v>
      </c>
      <c r="M22" s="44">
        <f t="shared" si="4"/>
        <v>0</v>
      </c>
      <c r="N22" s="30">
        <f t="shared" si="5"/>
        <v>8</v>
      </c>
      <c r="O22" s="30">
        <f t="shared" si="6"/>
        <v>0</v>
      </c>
      <c r="P22" s="44">
        <f t="shared" si="7"/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2:26" s="2" customFormat="1" ht="28.5" customHeight="1">
      <c r="B23" s="17">
        <v>9</v>
      </c>
      <c r="C23" s="18"/>
      <c r="D23" s="19"/>
      <c r="E23" s="20"/>
      <c r="F23" s="21"/>
      <c r="G23" s="22">
        <f t="shared" si="1"/>
        <v>0</v>
      </c>
      <c r="H23" s="17" t="s">
        <v>29</v>
      </c>
      <c r="I23" s="41"/>
      <c r="J23" s="42">
        <f t="shared" si="2"/>
        <v>0</v>
      </c>
      <c r="L23" s="43">
        <f t="shared" si="3"/>
        <v>0</v>
      </c>
      <c r="M23" s="44">
        <f t="shared" si="4"/>
        <v>0</v>
      </c>
      <c r="N23" s="30">
        <f t="shared" si="5"/>
        <v>9</v>
      </c>
      <c r="O23" s="30">
        <f t="shared" si="6"/>
        <v>0</v>
      </c>
      <c r="P23" s="44">
        <f t="shared" si="7"/>
        <v>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2:26" s="2" customFormat="1" ht="28.5" customHeight="1">
      <c r="B24" s="17">
        <v>10</v>
      </c>
      <c r="C24" s="18"/>
      <c r="D24" s="19"/>
      <c r="E24" s="20"/>
      <c r="F24" s="21"/>
      <c r="G24" s="22">
        <f t="shared" si="1"/>
        <v>0</v>
      </c>
      <c r="H24" s="17" t="s">
        <v>29</v>
      </c>
      <c r="I24" s="41"/>
      <c r="J24" s="42">
        <f t="shared" si="2"/>
        <v>0</v>
      </c>
      <c r="L24" s="43">
        <f t="shared" si="3"/>
        <v>0</v>
      </c>
      <c r="M24" s="44">
        <f t="shared" si="4"/>
        <v>0</v>
      </c>
      <c r="N24" s="30">
        <f t="shared" si="5"/>
        <v>10</v>
      </c>
      <c r="O24" s="30">
        <f t="shared" si="6"/>
        <v>0</v>
      </c>
      <c r="P24" s="44">
        <f t="shared" si="7"/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2:26" s="2" customFormat="1" ht="28.5" customHeight="1">
      <c r="B25" s="17">
        <v>11</v>
      </c>
      <c r="C25" s="18"/>
      <c r="D25" s="19"/>
      <c r="E25" s="20"/>
      <c r="F25" s="21"/>
      <c r="G25" s="22">
        <f t="shared" si="1"/>
        <v>0</v>
      </c>
      <c r="H25" s="17" t="s">
        <v>29</v>
      </c>
      <c r="I25" s="41"/>
      <c r="J25" s="42">
        <f t="shared" si="2"/>
        <v>0</v>
      </c>
      <c r="L25" s="43">
        <f t="shared" si="3"/>
        <v>0</v>
      </c>
      <c r="M25" s="44">
        <f t="shared" si="4"/>
        <v>0</v>
      </c>
      <c r="N25" s="30">
        <f t="shared" si="5"/>
        <v>11</v>
      </c>
      <c r="O25" s="30">
        <f t="shared" si="6"/>
        <v>0</v>
      </c>
      <c r="P25" s="44">
        <f t="shared" si="7"/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2:26" s="2" customFormat="1" ht="28.5" customHeight="1">
      <c r="B26" s="17">
        <v>12</v>
      </c>
      <c r="C26" s="17"/>
      <c r="D26" s="23"/>
      <c r="E26" s="17"/>
      <c r="F26" s="24"/>
      <c r="G26" s="22">
        <f t="shared" si="1"/>
        <v>0</v>
      </c>
      <c r="H26" s="17"/>
      <c r="I26" s="41"/>
      <c r="J26" s="42">
        <f t="shared" si="2"/>
        <v>0</v>
      </c>
      <c r="L26" s="43">
        <f t="shared" si="3"/>
        <v>0</v>
      </c>
      <c r="M26" s="44">
        <f t="shared" si="4"/>
        <v>0</v>
      </c>
      <c r="N26" s="30">
        <f t="shared" si="5"/>
        <v>12</v>
      </c>
      <c r="O26" s="30">
        <f t="shared" si="6"/>
        <v>0</v>
      </c>
      <c r="P26" s="44">
        <f t="shared" si="7"/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2:26" s="2" customFormat="1" ht="28.5" customHeight="1">
      <c r="B27" s="17">
        <v>13</v>
      </c>
      <c r="C27" s="17"/>
      <c r="D27" s="23"/>
      <c r="E27" s="17"/>
      <c r="F27" s="24"/>
      <c r="G27" s="22">
        <f t="shared" si="1"/>
        <v>0</v>
      </c>
      <c r="H27" s="17"/>
      <c r="I27" s="41"/>
      <c r="J27" s="42">
        <f t="shared" si="2"/>
        <v>0</v>
      </c>
      <c r="L27" s="43">
        <f t="shared" si="3"/>
        <v>0</v>
      </c>
      <c r="M27" s="44">
        <f t="shared" si="4"/>
        <v>0</v>
      </c>
      <c r="N27" s="30">
        <f t="shared" si="5"/>
        <v>13</v>
      </c>
      <c r="O27" s="30">
        <f t="shared" si="6"/>
        <v>0</v>
      </c>
      <c r="P27" s="44">
        <f t="shared" si="7"/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26" s="2" customFormat="1" ht="28.5" customHeight="1">
      <c r="B28" s="17">
        <v>14</v>
      </c>
      <c r="C28" s="17"/>
      <c r="D28" s="23"/>
      <c r="E28" s="17"/>
      <c r="F28" s="24"/>
      <c r="G28" s="22">
        <f t="shared" si="1"/>
        <v>0</v>
      </c>
      <c r="H28" s="17"/>
      <c r="I28" s="41"/>
      <c r="J28" s="42">
        <f t="shared" si="2"/>
        <v>0</v>
      </c>
      <c r="L28" s="43">
        <f t="shared" si="3"/>
        <v>0</v>
      </c>
      <c r="M28" s="44">
        <f t="shared" si="4"/>
        <v>0</v>
      </c>
      <c r="N28" s="30">
        <f t="shared" si="5"/>
        <v>14</v>
      </c>
      <c r="O28" s="30">
        <f t="shared" si="6"/>
        <v>0</v>
      </c>
      <c r="P28" s="44">
        <f t="shared" si="7"/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2:26" s="2" customFormat="1" ht="28.5" customHeight="1">
      <c r="B29" s="17">
        <v>15</v>
      </c>
      <c r="C29" s="17"/>
      <c r="D29" s="23"/>
      <c r="E29" s="17"/>
      <c r="F29" s="24"/>
      <c r="G29" s="22">
        <f t="shared" si="1"/>
        <v>0</v>
      </c>
      <c r="H29" s="17"/>
      <c r="I29" s="41"/>
      <c r="J29" s="42">
        <f t="shared" si="2"/>
        <v>0</v>
      </c>
      <c r="L29" s="43">
        <f t="shared" si="3"/>
        <v>0</v>
      </c>
      <c r="M29" s="44">
        <f t="shared" si="4"/>
        <v>0</v>
      </c>
      <c r="N29" s="30">
        <f t="shared" si="5"/>
        <v>15</v>
      </c>
      <c r="O29" s="30">
        <f t="shared" si="6"/>
        <v>0</v>
      </c>
      <c r="P29" s="44">
        <f t="shared" si="7"/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2:26" s="2" customFormat="1" ht="28.5" customHeight="1">
      <c r="B30" s="17">
        <v>16</v>
      </c>
      <c r="C30" s="17"/>
      <c r="D30" s="23"/>
      <c r="E30" s="17"/>
      <c r="F30" s="24"/>
      <c r="G30" s="22">
        <f t="shared" si="1"/>
        <v>0</v>
      </c>
      <c r="H30" s="17"/>
      <c r="I30" s="41"/>
      <c r="J30" s="42">
        <f t="shared" si="2"/>
        <v>0</v>
      </c>
      <c r="L30" s="43">
        <f t="shared" si="3"/>
        <v>0</v>
      </c>
      <c r="M30" s="44">
        <f t="shared" si="4"/>
        <v>0</v>
      </c>
      <c r="N30" s="30">
        <f t="shared" si="5"/>
        <v>16</v>
      </c>
      <c r="O30" s="30">
        <f t="shared" si="6"/>
        <v>0</v>
      </c>
      <c r="P30" s="44">
        <f t="shared" si="7"/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2:26" s="2" customFormat="1" ht="28.5" customHeight="1">
      <c r="B31" s="17">
        <v>17</v>
      </c>
      <c r="C31" s="17"/>
      <c r="D31" s="23"/>
      <c r="E31" s="17"/>
      <c r="F31" s="24"/>
      <c r="G31" s="22">
        <f t="shared" si="1"/>
        <v>0</v>
      </c>
      <c r="H31" s="17"/>
      <c r="I31" s="41"/>
      <c r="J31" s="42">
        <f t="shared" si="2"/>
        <v>0</v>
      </c>
      <c r="L31" s="43">
        <f t="shared" si="3"/>
        <v>0</v>
      </c>
      <c r="M31" s="44">
        <f t="shared" si="4"/>
        <v>0</v>
      </c>
      <c r="N31" s="30">
        <f t="shared" si="5"/>
        <v>17</v>
      </c>
      <c r="O31" s="30">
        <f t="shared" si="6"/>
        <v>0</v>
      </c>
      <c r="P31" s="44">
        <f t="shared" si="7"/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2:26" s="2" customFormat="1" ht="28.5" customHeight="1">
      <c r="B32" s="17">
        <v>18</v>
      </c>
      <c r="C32" s="17"/>
      <c r="D32" s="23"/>
      <c r="E32" s="17"/>
      <c r="F32" s="24"/>
      <c r="G32" s="22">
        <f t="shared" si="1"/>
        <v>0</v>
      </c>
      <c r="H32" s="17"/>
      <c r="I32" s="41"/>
      <c r="J32" s="42">
        <f t="shared" si="2"/>
        <v>0</v>
      </c>
      <c r="L32" s="43">
        <f t="shared" si="3"/>
        <v>0</v>
      </c>
      <c r="M32" s="44">
        <f t="shared" si="4"/>
        <v>0</v>
      </c>
      <c r="N32" s="30">
        <f t="shared" si="5"/>
        <v>18</v>
      </c>
      <c r="O32" s="30">
        <f t="shared" si="6"/>
        <v>0</v>
      </c>
      <c r="P32" s="44">
        <f t="shared" si="7"/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2:26" s="2" customFormat="1" ht="28.5" customHeight="1">
      <c r="B33" s="17">
        <v>19</v>
      </c>
      <c r="C33" s="17"/>
      <c r="D33" s="23"/>
      <c r="E33" s="17"/>
      <c r="F33" s="24"/>
      <c r="G33" s="22">
        <f t="shared" si="1"/>
        <v>0</v>
      </c>
      <c r="H33" s="25"/>
      <c r="I33" s="25"/>
      <c r="J33" s="42">
        <f t="shared" si="2"/>
        <v>0</v>
      </c>
      <c r="L33" s="43">
        <f t="shared" si="3"/>
        <v>0</v>
      </c>
      <c r="M33" s="44">
        <f t="shared" si="4"/>
        <v>0</v>
      </c>
      <c r="N33" s="30">
        <f t="shared" si="5"/>
        <v>19</v>
      </c>
      <c r="O33" s="30">
        <f t="shared" si="6"/>
        <v>0</v>
      </c>
      <c r="P33" s="44">
        <f t="shared" si="7"/>
        <v>0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2:26" s="2" customFormat="1" ht="28.5" customHeight="1">
      <c r="B34" s="17">
        <v>20</v>
      </c>
      <c r="C34" s="17"/>
      <c r="D34" s="23"/>
      <c r="E34" s="17"/>
      <c r="F34" s="24"/>
      <c r="G34" s="22">
        <f t="shared" si="1"/>
        <v>0</v>
      </c>
      <c r="H34" s="26"/>
      <c r="I34" s="45"/>
      <c r="J34" s="42">
        <f t="shared" si="2"/>
        <v>0</v>
      </c>
      <c r="L34" s="43">
        <f t="shared" si="3"/>
        <v>0</v>
      </c>
      <c r="M34" s="44">
        <f t="shared" si="4"/>
        <v>0</v>
      </c>
      <c r="N34" s="30">
        <f t="shared" si="5"/>
        <v>20</v>
      </c>
      <c r="O34" s="30">
        <f t="shared" si="6"/>
        <v>0</v>
      </c>
      <c r="P34" s="44">
        <f t="shared" si="7"/>
        <v>0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2:26" ht="26.25">
      <c r="B35" s="27"/>
      <c r="C35" s="27"/>
      <c r="D35" s="28"/>
      <c r="E35" s="29">
        <f>SUM(E15:E34)</f>
        <v>16</v>
      </c>
      <c r="F35" s="30"/>
      <c r="G35" s="31">
        <f>SUM(G15:G33)</f>
        <v>1920</v>
      </c>
      <c r="H35" s="32"/>
      <c r="I35" s="46" t="s">
        <v>30</v>
      </c>
      <c r="J35" s="47">
        <f>SUM(J15:J33)</f>
        <v>27120</v>
      </c>
      <c r="L35" s="44">
        <v>112</v>
      </c>
      <c r="M35" s="48">
        <f t="shared" ref="M35:Z35" si="8">SUM(M15:M34)</f>
        <v>0</v>
      </c>
      <c r="N35" s="49"/>
      <c r="O35" s="49"/>
      <c r="P35" s="48">
        <f t="shared" si="8"/>
        <v>16</v>
      </c>
      <c r="Q35" s="48">
        <f t="shared" si="8"/>
        <v>16</v>
      </c>
      <c r="R35" s="48">
        <f t="shared" si="8"/>
        <v>0</v>
      </c>
      <c r="S35" s="48">
        <f t="shared" si="8"/>
        <v>0</v>
      </c>
      <c r="T35" s="48">
        <f t="shared" si="8"/>
        <v>0</v>
      </c>
      <c r="U35" s="48">
        <f t="shared" si="8"/>
        <v>0</v>
      </c>
      <c r="V35" s="48">
        <f t="shared" si="8"/>
        <v>0</v>
      </c>
      <c r="W35" s="48">
        <f t="shared" si="8"/>
        <v>0</v>
      </c>
      <c r="X35" s="48">
        <f t="shared" si="8"/>
        <v>0</v>
      </c>
      <c r="Y35" s="48">
        <f t="shared" si="8"/>
        <v>0</v>
      </c>
      <c r="Z35" s="48">
        <f t="shared" si="8"/>
        <v>0</v>
      </c>
    </row>
    <row r="36" spans="2:26" ht="25.5" customHeight="1"/>
    <row r="37" spans="2:26" ht="26.25">
      <c r="C37" s="33" t="s">
        <v>31</v>
      </c>
      <c r="D37" s="34"/>
      <c r="E37" s="34"/>
      <c r="F37" s="34"/>
      <c r="O37" s="33" t="s">
        <v>31</v>
      </c>
      <c r="P37" s="34"/>
    </row>
    <row r="38" spans="2:26" ht="26.25">
      <c r="C38" s="33"/>
      <c r="D38" s="34"/>
      <c r="E38" s="34"/>
      <c r="F38" s="34"/>
      <c r="O38" s="33"/>
      <c r="P38" s="34"/>
    </row>
    <row r="39" spans="2:26" ht="26.25">
      <c r="C39" s="33"/>
      <c r="D39" s="34"/>
      <c r="E39" s="34"/>
      <c r="F39" s="34"/>
      <c r="O39" s="33"/>
      <c r="P39" s="34"/>
    </row>
    <row r="40" spans="2:26" ht="26.25">
      <c r="C40" s="33"/>
      <c r="D40" s="34"/>
      <c r="E40" s="34"/>
      <c r="F40" s="34"/>
      <c r="O40" s="33"/>
      <c r="P40" s="34"/>
    </row>
    <row r="41" spans="2:26" ht="26.25">
      <c r="C41" s="35"/>
      <c r="D41" s="36"/>
      <c r="E41" s="37"/>
      <c r="F41" s="34"/>
      <c r="O41" s="35"/>
      <c r="P41" s="36"/>
      <c r="Q41" s="52"/>
      <c r="R41" s="52"/>
    </row>
    <row r="42" spans="2:26" ht="26.25">
      <c r="C42" s="33" t="s">
        <v>8</v>
      </c>
      <c r="D42" s="34"/>
      <c r="E42" s="34"/>
      <c r="F42" s="34"/>
      <c r="O42" s="33" t="s">
        <v>8</v>
      </c>
      <c r="P42" s="34"/>
    </row>
  </sheetData>
  <mergeCells count="18">
    <mergeCell ref="B13:J13"/>
    <mergeCell ref="G14:H14"/>
    <mergeCell ref="B1:G2"/>
    <mergeCell ref="H1:J2"/>
    <mergeCell ref="L1:Z2"/>
    <mergeCell ref="E9:G9"/>
    <mergeCell ref="H9:J9"/>
    <mergeCell ref="U9:W9"/>
    <mergeCell ref="X9:Z9"/>
    <mergeCell ref="O12:W12"/>
    <mergeCell ref="E7:G7"/>
    <mergeCell ref="H7:J7"/>
    <mergeCell ref="U7:W7"/>
    <mergeCell ref="X7:Z7"/>
    <mergeCell ref="E8:G8"/>
    <mergeCell ref="H8:J8"/>
    <mergeCell ref="U8:W8"/>
    <mergeCell ref="X8:Z8"/>
  </mergeCells>
  <pageMargins left="0.25" right="0.25" top="0.75" bottom="0.75" header="0.3" footer="0.3"/>
  <pageSetup paperSize="9" scale="66" fitToWidth="0" orientation="portrait" r:id="rId1"/>
  <colBreaks count="1" manualBreakCount="1">
    <brk id="10" max="41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07.01.26</vt:lpstr>
      <vt:lpstr>'07.01.26'!Print_Area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2025-12-10T04:38:00Z</dcterms:created>
  <dcterms:modified xsi:type="dcterms:W3CDTF">2026-01-07T07:18:52Z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1C6C59FE5A584772A6A9837EBDF2E074_11</vt:lpwstr>
  </property>
  <property fmtid="{D5CDD505-2E9C-101B-9397-08002B2CF9AE}" pid="3" name="KSOProductBuildVer">
    <vt:lpwstr>1033-12.2.0.23196</vt:lpwstr>
  </property>
</Properties>
</file>